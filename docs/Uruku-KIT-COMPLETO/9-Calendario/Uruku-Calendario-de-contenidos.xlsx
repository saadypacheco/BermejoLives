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Calendario" sheetId="2" state="visible" r:id="rId4"/>
    <sheet name="Banco de ideas" sheetId="3" state="visible" r:id="rId5"/>
    <sheet name="Historias diarias" sheetId="4" state="visible" r:id="rId6"/>
    <sheet name="Métr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<sst xmlns="http://schemas.openxmlformats.org/spreadsheetml/2006/main" count="575" uniqueCount="296">
  <si>
    <t xml:space="preserve">Uruku · Calendario de contenidos · primeras 4 semanas</t>
  </si>
  <si>
    <t xml:space="preserve">Objetivo: generar visibilidad y llevar gente a uruku.bo desde Instagram, Facebook y TikTok.</t>
  </si>
  <si>
    <t xml:space="preserve">CÓMO USAR ESTE ARCHIVO</t>
  </si>
  <si>
    <t xml:space="preserve">1. Escribí la fecha del lanzamiento en la celda amarilla de la hoja «Calendario» (conviene un lunes). Las fechas se calculan solas.</t>
  </si>
  <si>
    <t xml:space="preserve">2. «Calendario»: qué publicar cada día, en qué redes y con qué idea. Cambiá la columna «Estado» a medida que avanzás.</t>
  </si>
  <si>
    <t xml:space="preserve">3. «Banco de ideas»: cada idea explicada paso a paso (gancho, cómo grabarla, texto y llamado a la acción).</t>
  </si>
  <si>
    <t xml:space="preserve">4. «Historias diarias»: la rutina fija de historias y estados de WhatsApp para cada día de la semana.</t>
  </si>
  <si>
    <t xml:space="preserve">5. «Métricas»: completá los números cada domingo (celdas amarillas). El crecimiento se calcula solo.</t>
  </si>
  <si>
    <t xml:space="preserve">RITMO SEMANAL (sostenible para una sola persona)</t>
  </si>
  <si>
    <t xml:space="preserve">· 3 Reels por semana (lunes, miércoles y viernes): se publican en Instagram, TikTok y Reels de Facebook.</t>
  </si>
  <si>
    <t xml:space="preserve">· 2 publicaciones de feed (martes y jueves): carrusel o imagen, en Instagram y Facebook (y en TikTok como fotos).</t>
  </si>
  <si>
    <t xml:space="preserve">· 1 TikTok extra el sábado (formato más liviano o de humor).</t>
  </si>
  <si>
    <t xml:space="preserve">· Historias y estados de WhatsApp todos los días, empezando por «Hoy en Bermejo».</t>
  </si>
  <si>
    <t xml:space="preserve">LINKS CON SEGUIMIENTO (para saber de qué red vienen las visitas a la web)</t>
  </si>
  <si>
    <t xml:space="preserve">Instagram:  uruku.bo/?utm_source=instagram&amp;utm_medium=social</t>
  </si>
  <si>
    <t xml:space="preserve">Facebook:   uruku.bo/?utm_source=facebook&amp;utm_medium=social</t>
  </si>
  <si>
    <t xml:space="preserve">TikTok:     uruku.bo/?utm_source=tiktok&amp;utm_medium=social</t>
  </si>
  <si>
    <t xml:space="preserve">WhatsApp:   uruku.bo/?utm_source=whatsapp&amp;utm_medium=social</t>
  </si>
  <si>
    <t xml:space="preserve">Usalos en la bio y en los stickers de enlace. En la web, leé el parámetro utm_source con tu herramienta de analítica.</t>
  </si>
  <si>
    <t xml:space="preserve">ANTES DE PUBLICAR DATOS</t>
  </si>
  <si>
    <t xml:space="preserve">Horarios de chalanas, requisitos para cruzar o límites de compra cambian seguido: verificalos en fuentes oficiales el mismo día. Nunca hablar de contrabando ni de pasar mercadería sin declarar.</t>
  </si>
  <si>
    <t xml:space="preserve">Fecha de lanzamiento (lunes) →</t>
  </si>
  <si>
    <t xml:space="preserve">Fecha de ejemplo: cambiala por la real y todo el calendario se actualiza.</t>
  </si>
  <si>
    <t xml:space="preserve">Semana</t>
  </si>
  <si>
    <t xml:space="preserve">Día</t>
  </si>
  <si>
    <t xml:space="preserve">Fecha</t>
  </si>
  <si>
    <t xml:space="preserve">Redes</t>
  </si>
  <si>
    <t xml:space="preserve">Formato</t>
  </si>
  <si>
    <t xml:space="preserve">Pilar</t>
  </si>
  <si>
    <t xml:space="preserve">Qué publicar</t>
  </si>
  <si>
    <t xml:space="preserve">Idea (ver Banco de ideas)</t>
  </si>
  <si>
    <t xml:space="preserve">Historias del día</t>
  </si>
  <si>
    <t xml:space="preserve">Estado</t>
  </si>
  <si>
    <t xml:space="preserve">Notas</t>
  </si>
  <si>
    <t xml:space="preserve">Lun</t>
  </si>
  <si>
    <t xml:space="preserve">Todas</t>
  </si>
  <si>
    <t xml:space="preserve">Lanzamiento</t>
  </si>
  <si>
    <t xml:space="preserve">Marca</t>
  </si>
  <si>
    <t xml:space="preserve">LANZAMIENTO: grilla de 9 posts + historias</t>
  </si>
  <si>
    <t xml:space="preserve">—</t>
  </si>
  <si>
    <t xml:space="preserve">Ver «Historias diarias»</t>
  </si>
  <si>
    <t xml:space="preserve">Pendiente</t>
  </si>
  <si>
    <t xml:space="preserve">Seguí la «Guía de lanzamiento» paso a paso.</t>
  </si>
  <si>
    <t xml:space="preserve">Mar</t>
  </si>
  <si>
    <t xml:space="preserve">IG · FB · TikTok</t>
  </si>
  <si>
    <t xml:space="preserve">Reel</t>
  </si>
  <si>
    <t xml:space="preserve">Manifiesto</t>
  </si>
  <si>
    <t xml:space="preserve">I01</t>
  </si>
  <si>
    <t xml:space="preserve">Mié</t>
  </si>
  <si>
    <t xml:space="preserve">IG · FB · TikTok (fotos)</t>
  </si>
  <si>
    <t xml:space="preserve">Carrusel</t>
  </si>
  <si>
    <t xml:space="preserve">Dax te cuenta</t>
  </si>
  <si>
    <t xml:space="preserve">5 cosas que tenés que saber antes de cruzar</t>
  </si>
  <si>
    <t xml:space="preserve">I02</t>
  </si>
  <si>
    <t xml:space="preserve">Jue</t>
  </si>
  <si>
    <t xml:space="preserve">Conocé a…</t>
  </si>
  <si>
    <t xml:space="preserve">Negocio de la semana #1</t>
  </si>
  <si>
    <t xml:space="preserve">I03</t>
  </si>
  <si>
    <t xml:space="preserve">Vie</t>
  </si>
  <si>
    <t xml:space="preserve">Cómo usar</t>
  </si>
  <si>
    <t xml:space="preserve">Buscalo en Uruku: zapatillas</t>
  </si>
  <si>
    <t xml:space="preserve">I04</t>
  </si>
  <si>
    <t xml:space="preserve">Sáb</t>
  </si>
  <si>
    <t xml:space="preserve">TikTok · IG</t>
  </si>
  <si>
    <t xml:space="preserve">TikTok</t>
  </si>
  <si>
    <t xml:space="preserve">Ofertas</t>
  </si>
  <si>
    <t xml:space="preserve">Adiviná el precio #1</t>
  </si>
  <si>
    <t xml:space="preserve">I05</t>
  </si>
  <si>
    <t xml:space="preserve">Dom</t>
  </si>
  <si>
    <t xml:space="preserve">Solo historias</t>
  </si>
  <si>
    <t xml:space="preserve">Día sin feed: historias y responder mensajes</t>
  </si>
  <si>
    <t xml:space="preserve">Ofertas de la semana</t>
  </si>
  <si>
    <t xml:space="preserve">I06</t>
  </si>
  <si>
    <t xml:space="preserve">IG · FB</t>
  </si>
  <si>
    <t xml:space="preserve">¿Cuánto te sale en pesos?</t>
  </si>
  <si>
    <t xml:space="preserve">I07</t>
  </si>
  <si>
    <t xml:space="preserve">Un día de compras con Uruku</t>
  </si>
  <si>
    <t xml:space="preserve">I08</t>
  </si>
  <si>
    <t xml:space="preserve">Imagen</t>
  </si>
  <si>
    <t xml:space="preserve">Conocé a… #1</t>
  </si>
  <si>
    <t xml:space="preserve">I09</t>
  </si>
  <si>
    <t xml:space="preserve">Preguntale a Dax #1</t>
  </si>
  <si>
    <t xml:space="preserve">I10</t>
  </si>
  <si>
    <t xml:space="preserve">Juntá preguntas el lunes con la caja de preguntas.</t>
  </si>
  <si>
    <t xml:space="preserve">POV: cruzaste sin mirar Uruku</t>
  </si>
  <si>
    <t xml:space="preserve">I11</t>
  </si>
  <si>
    <t xml:space="preserve">Mapa de rubros: dónde está cada cosa</t>
  </si>
  <si>
    <t xml:space="preserve">I12</t>
  </si>
  <si>
    <t xml:space="preserve">Negocio de la semana #2</t>
  </si>
  <si>
    <t xml:space="preserve">Para negocios</t>
  </si>
  <si>
    <t xml:space="preserve">Sumate: testimonio de un negocio</t>
  </si>
  <si>
    <t xml:space="preserve">I13</t>
  </si>
  <si>
    <t xml:space="preserve">Adiviná el precio #2</t>
  </si>
  <si>
    <t xml:space="preserve">TikTok · IG · FB</t>
  </si>
  <si>
    <t xml:space="preserve">Mitos y verdades de comprar en Bermejo</t>
  </si>
  <si>
    <t xml:space="preserve">I14</t>
  </si>
  <si>
    <t xml:space="preserve">Verificá cada dato.</t>
  </si>
  <si>
    <t xml:space="preserve">Ruta del mandado grande</t>
  </si>
  <si>
    <t xml:space="preserve">I15</t>
  </si>
  <si>
    <t xml:space="preserve">Lo más buscado de la semana</t>
  </si>
  <si>
    <t xml:space="preserve">I16</t>
  </si>
  <si>
    <t xml:space="preserve">Sacá el top de búsquedas de la web.</t>
  </si>
  <si>
    <t xml:space="preserve">Conocé a… #2</t>
  </si>
  <si>
    <t xml:space="preserve">Preguntale a Dax #2</t>
  </si>
  <si>
    <t xml:space="preserve">Resumen del mes</t>
  </si>
  <si>
    <t xml:space="preserve">I17</t>
  </si>
  <si>
    <t xml:space="preserve">Con los números de la hoja «Métricas».</t>
  </si>
  <si>
    <t xml:space="preserve">ID</t>
  </si>
  <si>
    <t xml:space="preserve">Idea</t>
  </si>
  <si>
    <t xml:space="preserve">Objetivo</t>
  </si>
  <si>
    <t xml:space="preserve">Gancho (primeros 3 s)</t>
  </si>
  <si>
    <t xml:space="preserve">Cómo hacerlo, paso a paso</t>
  </si>
  <si>
    <t xml:space="preserve">Plantilla a usar</t>
  </si>
  <si>
    <t xml:space="preserve">Duración</t>
  </si>
  <si>
    <t xml:space="preserve">Texto sugerido</t>
  </si>
  <si>
    <t xml:space="preserve">Llamado a la acción</t>
  </si>
  <si>
    <t xml:space="preserve">Tiempo de producción</t>
  </si>
  <si>
    <t xml:space="preserve">Conectar emocionalmente</t>
  </si>
  <si>
    <t xml:space="preserve">El río y el puente: «Del otro lado del río hay miles de comercios.»</t>
  </si>
  <si>
    <t xml:space="preserve">1) Grabá 5 tomas de 4 s: río/puente, calles, vidrieras, un comerciante atendiendo, alguien mirando el celular. 2) Grabá tu voz leyendo el manifiesto corto. 3) En CapCut: texto en pantalla frase por frase. 4) Cerrá con la placa «cartel-video-cierre».</t>
  </si>
  <si>
    <t xml:space="preserve">cartel-video-cierre</t>
  </si>
  <si>
    <t xml:space="preserve">20–25 s</t>
  </si>
  <si>
    <t xml:space="preserve">Del otro lado del río hay miles de comercios. Algunos los conocés. La mayoría, todavía no. Por eso existe Uruku 💚</t>
  </si>
  <si>
    <t xml:space="preserve">Link en la bio: uruku.bo</t>
  </si>
  <si>
    <t xml:space="preserve">2 h</t>
  </si>
  <si>
    <t xml:space="preserve">Carrusel (7 imágenes)</t>
  </si>
  <si>
    <t xml:space="preserve">Que lo guarden y compartan</t>
  </si>
  <si>
    <t xml:space="preserve">Portada: «5 cosas que tenés que saber antes de cruzar a Bermejo»</t>
  </si>
  <si>
    <t xml:space="preserve">1) Portada + 5 placas (una por consejo) + cierre con botón. Consejos: horario de chalanas y puente, llevar documento, efectivo o transferencia, mirar el cambio del día, planear la compra en Uruku. 2) Usá el estilo de «Dax te cuenta». 3) Verificá cada dato el día que publiques.</t>
  </si>
  <si>
    <t xml:space="preserve">ruta-consejo-post</t>
  </si>
  <si>
    <t xml:space="preserve">¿Vas a cruzar a Bermejo? Guardá esto 📌 5 cosas que conviene saber antes de ir. ¿Cuál agregarías? 👇</t>
  </si>
  <si>
    <t xml:space="preserve">Guardalo · uruku.bo</t>
  </si>
  <si>
    <t xml:space="preserve">1,5 h</t>
  </si>
  <si>
    <t xml:space="preserve">Negocio de la semana</t>
  </si>
  <si>
    <t xml:space="preserve">Mostrar negocios reales y que el negocio lo comparta</t>
  </si>
  <si>
    <t xml:space="preserve">El dueño a cámara: «Hola, soy Rosa y hace 20 años vendo telas en Bermejo.»</t>
  </si>
  <si>
    <t xml:space="preserve">1) Visitá el negocio y pedí permiso. 2) Grabá: presentación del dueño (5 s), 3 productos con precio (3 s c/u), la vidriera con la calcomanía (3 s). 3) Agregá el zócalo con nombre, precio y cuadras del puente. 4) Etiquetá al negocio y pedile que lo comparta.</t>
  </si>
  <si>
    <t xml:space="preserve">recorte-video-zocalo + cartel-video-cierre</t>
  </si>
  <si>
    <t xml:space="preserve">20–30 s</t>
  </si>
  <si>
    <t xml:space="preserve">Conocé a Doña Rosa 🧵 Hace 20 años vende telas en Bermejo y ahora también la encontrás en Uruku 📍</t>
  </si>
  <si>
    <t xml:space="preserve">Buscala en uruku.bo</t>
  </si>
  <si>
    <t xml:space="preserve">2 h + visita</t>
  </si>
  <si>
    <t xml:space="preserve">Buscalo en Uruku</t>
  </si>
  <si>
    <t xml:space="preserve">Reel / TikTok</t>
  </si>
  <si>
    <t xml:space="preserve">Mostrar la web en acción</t>
  </si>
  <si>
    <t xml:space="preserve">«¿Buscás zapatillas en Bermejo? Mirá qué fácil.»</t>
  </si>
  <si>
    <t xml:space="preserve">1) Grabá la pantalla del celular: entrás a uruku.bo, escribís el producto, aparecen negocios y ofertas. 2) Intercalá 2 tomas reales del producto en el local. 3) Texto en pantalla con cada paso. 4) Cambiá el producto cada vez (ropa, electro, juguetes…).</t>
  </si>
  <si>
    <t xml:space="preserve">cartel-video-portada</t>
  </si>
  <si>
    <t xml:space="preserve">15–20 s</t>
  </si>
  <si>
    <t xml:space="preserve">¿Buscás zapatillas en Bermejo? 👟 Buscalo en Uruku y andá directo al negocio.</t>
  </si>
  <si>
    <t xml:space="preserve">uruku.bo</t>
  </si>
  <si>
    <t xml:space="preserve">1 h</t>
  </si>
  <si>
    <t xml:space="preserve">Adiviná el precio</t>
  </si>
  <si>
    <t xml:space="preserve">Generar comentarios</t>
  </si>
  <si>
    <t xml:space="preserve">Producto en mano: «¿Cuánto creés que sale esto en Bermejo?»</t>
  </si>
  <si>
    <t xml:space="preserve">1) Mostrá el producto 3 s. 2) Texto: «¿Cuánto sale? Comentá antes de ver». 3) Pausa de 2 s. 4) Revelá el precio en bolivianos y en pesos con la tarjeta de oferta. 5) Respondé los comentarios.</t>
  </si>
  <si>
    <t xml:space="preserve">recorte-oferta-historia</t>
  </si>
  <si>
    <t xml:space="preserve">10–15 s</t>
  </si>
  <si>
    <t xml:space="preserve">¿Cuánto creés que sale? 🤔 Comentá tu respuesta antes de ver el final 👇</t>
  </si>
  <si>
    <t xml:space="preserve">Más ofertas en uruku.bo</t>
  </si>
  <si>
    <t xml:space="preserve">45 min</t>
  </si>
  <si>
    <t xml:space="preserve">Llevar tráfico a la sección de ofertas</t>
  </si>
  <si>
    <t xml:space="preserve">«3 ofertas de esta semana en Bermejo 🔥»</t>
  </si>
  <si>
    <t xml:space="preserve">1) Elegí 3 ofertas cargadas en la web. 2) Por cada una: toma del producto (3 s) + tarjeta con precio. 3) Cierre: «Todas las ofertas en uruku.bo». 4) En historias, la misma data con sticker de enlace.</t>
  </si>
  <si>
    <t xml:space="preserve">recorte-oferta-historia + cartel-video-cierre</t>
  </si>
  <si>
    <t xml:space="preserve">3 ofertas de esta semana en Bermejo 🏷️ ¿Cuál te llevás?</t>
  </si>
  <si>
    <t xml:space="preserve">Todas en uruku.bo</t>
  </si>
  <si>
    <t xml:space="preserve">Carrusel (5 imágenes)</t>
  </si>
  <si>
    <t xml:space="preserve">Enseñar a usar el cambio</t>
  </si>
  <si>
    <t xml:space="preserve">«¿Cuánto te sale en pesos lo que ves en bolivianos?»</t>
  </si>
  <si>
    <t xml:space="preserve">1) Portada con la pregunta. 2) Explicá el cambio del día con un ejemplo simple (un producto en Bs → en $). 3) Mostrá la calculadora de la web con capturas. 4) Cierre con botón «Calculalo en uruku.bo».</t>
  </si>
  <si>
    <t xml:space="preserve">cartel-cambio-post o ruta-hoy-post</t>
  </si>
  <si>
    <t xml:space="preserve">¿Cuánto te sale en pesos? 💱 Te mostramos cómo calcularlo en segundos.</t>
  </si>
  <si>
    <t xml:space="preserve">uruku.bo · sección Cambio</t>
  </si>
  <si>
    <t xml:space="preserve">Reel (vlog)</t>
  </si>
  <si>
    <t xml:space="preserve">Mostrar la experiencia completa</t>
  </si>
  <si>
    <t xml:space="preserve">«Así planeo mis compras en Bermejo 👇»</t>
  </si>
  <si>
    <t xml:space="preserve">1) En casa: mirás «Hoy en Bermejo» y buscás en Uruku. 2) Cruzás (río o puente). 3) Llegás directo a 2 negocios. 4) Volvés contenta con las compras. Tomas cortas de 2–3 s con música con ritmo.</t>
  </si>
  <si>
    <t xml:space="preserve">30–45 s</t>
  </si>
  <si>
    <t xml:space="preserve">Así planeo mis compras en Bermejo, sin perder el viaje 🛍️</t>
  </si>
  <si>
    <t xml:space="preserve">3 h (salida)</t>
  </si>
  <si>
    <t xml:space="preserve">Conocé a… (post)</t>
  </si>
  <si>
    <t xml:space="preserve">Confianza y red de negocios</t>
  </si>
  <si>
    <t xml:space="preserve">Foto del comerciante sonriendo.</t>
  </si>
  <si>
    <t xml:space="preserve">1) Foto real del dueño en su local, con luz natural. 2) Plantilla «ruta-negocio-post». 3) 2 líneas de historia + rubro + ubicación. 4) Etiquetá al negocio.</t>
  </si>
  <si>
    <t xml:space="preserve">ruta-negocio-post</t>
  </si>
  <si>
    <t xml:space="preserve">Conocé a ___ 💚 ___ años vendiendo ___ en Bermejo. Encontralo en Uruku 📍</t>
  </si>
  <si>
    <t xml:space="preserve">Cómo llegar: uruku.bo</t>
  </si>
  <si>
    <t xml:space="preserve">30 min</t>
  </si>
  <si>
    <t xml:space="preserve">Preguntale a Dax</t>
  </si>
  <si>
    <t xml:space="preserve">Que usen el chat de la web</t>
  </si>
  <si>
    <t xml:space="preserve">Pregunta real en pantalla: «¿Dónde cambio plata cerca del puente?»</t>
  </si>
  <si>
    <t xml:space="preserve">1) Juntá preguntas con la caja de preguntas de historias. 2) Grabá la pantalla escribiéndole a Dax en uruku.bo y mostrando la respuesta. 3) Texto: «Preguntaste, Dax responde». 4) Nombrá (con permiso) a quien preguntó.</t>
  </si>
  <si>
    <t xml:space="preserve">ruta-consejo-post / cartel-video-cierre</t>
  </si>
  <si>
    <t xml:space="preserve">Preguntaste, Dax responde 🐶 ¿Qué querés saber de Bermejo? Dejalo en comentarios.</t>
  </si>
  <si>
    <t xml:space="preserve">Preguntale en uruku.bo</t>
  </si>
  <si>
    <t xml:space="preserve">TikTok (humor)</t>
  </si>
  <si>
    <t xml:space="preserve">Alcance y compartidos</t>
  </si>
  <si>
    <t xml:space="preserve">Texto: «POV: cruzaste a Bermejo sin mirar Uruku»</t>
  </si>
  <si>
    <t xml:space="preserve">1) Actuá 3 situaciones cortas: das vueltas buscando un local, no sabés el cambio, el negocio que buscabas estaba cerrado. 2) Final: «La próxima, mirá Uruku 😅». 3) Humor con cariño, nunca burlándose de nadie. Usá un audio en tendencia.</t>
  </si>
  <si>
    <t xml:space="preserve">La próxima, mirá Uruku antes de cruzar 😅 ¿Te pasó?</t>
  </si>
  <si>
    <t xml:space="preserve">Carrusel (6 imágenes)</t>
  </si>
  <si>
    <t xml:space="preserve">Guardados y visitas al mapa</t>
  </si>
  <si>
    <t xml:space="preserve">«¿Dónde está cada cosa en Bermejo? 🗺️»</t>
  </si>
  <si>
    <t xml:space="preserve">1) Por cada rubro (ropa, calzado, electro, juguetes…) una placa con captura del mapa filtrado de la web. 2) Cierre: «Explorá el mapa en uruku.bo». 3) Solo con negocios cargados.</t>
  </si>
  <si>
    <t xml:space="preserve">feed + capturas de la web</t>
  </si>
  <si>
    <t xml:space="preserve">Guardá este mapa 📌 Dónde encontrar cada cosa en Bermejo.</t>
  </si>
  <si>
    <t xml:space="preserve">Mapa completo en uruku.bo</t>
  </si>
  <si>
    <t xml:space="preserve">Imagen o Reel</t>
  </si>
  <si>
    <t xml:space="preserve">Sumar negocios</t>
  </si>
  <si>
    <t xml:space="preserve">Cita del comerciante: «Ahora me encuentran los que no me conocían.»</t>
  </si>
  <si>
    <t xml:space="preserve">1) Pedile a un negocio sumado una frase (o un video de 10 s). 2) Plantilla «ruta-negocio-post» con la cita. 3) Botón «Subí tu negocio gratis».</t>
  </si>
  <si>
    <t xml:space="preserve">«Ahora me encuentran los que no me conocían» 💬 ¿Tenés un negocio en Bermejo? Sumate gratis.</t>
  </si>
  <si>
    <t xml:space="preserve">Escribinos por mensaje</t>
  </si>
  <si>
    <t xml:space="preserve">TikTok / carrusel</t>
  </si>
  <si>
    <t xml:space="preserve">Alcance y guardados</t>
  </si>
  <si>
    <t xml:space="preserve">«¿Es verdad que en Bermejo todo es por mayor?»</t>
  </si>
  <si>
    <t xml:space="preserve">1) 4 afirmaciones comunes, cada una con «Mito» o «Verdad» y una explicación corta. 2) Verificá cada dato antes. 3) Cierre: «¿Otra duda? Preguntale a Dax».</t>
  </si>
  <si>
    <t xml:space="preserve">Mitos y verdades de comprar en Bermejo 🤔 ¿Cuál te sorprendió?</t>
  </si>
  <si>
    <t xml:space="preserve">Preguntale a Dax en uruku.bo</t>
  </si>
  <si>
    <t xml:space="preserve">Carrusel (checklist)</t>
  </si>
  <si>
    <t xml:space="preserve">Guardados</t>
  </si>
  <si>
    <t xml:space="preserve">«Tu lista para el mandado grande en Bermejo ✅»</t>
  </si>
  <si>
    <t xml:space="preserve">1) Lista por categorías (almacén, ropa, útiles, electro). 2) En cada una, dónde buscarlo en Uruku. 3) Diseño de checklist para guardar. Ideal antes de fechas clave (vuelta al cole, fiestas).</t>
  </si>
  <si>
    <t xml:space="preserve">Guardá tu lista para el mandado grande ✅ Y planeá todo en Uruku antes de cruzar.</t>
  </si>
  <si>
    <t xml:space="preserve">Mostrar tendencia real</t>
  </si>
  <si>
    <t xml:space="preserve">«Lo más buscado en Uruku esta semana 👀»</t>
  </si>
  <si>
    <t xml:space="preserve">1) Sacá de la web el top 5 de búsquedas de la semana. 2) Una toma por producto con el número (5 → 1). 3) Cierre: «Encontralos en uruku.bo».</t>
  </si>
  <si>
    <t xml:space="preserve">Lo más buscado en Uruku esta semana 👀 ¿Adivinás el número 1?</t>
  </si>
  <si>
    <t xml:space="preserve">Imagen / carrusel</t>
  </si>
  <si>
    <t xml:space="preserve">Comunidad y confianza</t>
  </si>
  <si>
    <t xml:space="preserve">«Gracias por este primer mes 💚»</t>
  </si>
  <si>
    <t xml:space="preserve">1) Números reales del mes: negocios sumados, visitas, preguntas a Dax. 2) Agradecimiento y adelanto de lo que viene.</t>
  </si>
  <si>
    <t xml:space="preserve">Nuestro primer mes 💚 Gracias a cada negocio y a cada persona que cruzó con Uruku.</t>
  </si>
  <si>
    <t xml:space="preserve">Horario</t>
  </si>
  <si>
    <t xml:space="preserve">Qué subir</t>
  </si>
  <si>
    <t xml:space="preserve">Plantilla</t>
  </si>
  <si>
    <t xml:space="preserve">Sticker</t>
  </si>
  <si>
    <t xml:space="preserve">Todos los días</t>
  </si>
  <si>
    <t xml:space="preserve">8 a 9 h</t>
  </si>
  <si>
    <t xml:space="preserve">«Hoy en Bermejo»: frontera, chalanas, clima y cambio</t>
  </si>
  <si>
    <t xml:space="preserve">recorte-ticket-historia o ruta-hoy-historia</t>
  </si>
  <si>
    <t xml:space="preserve">Sticker de enlace a uruku.bo</t>
  </si>
  <si>
    <t xml:space="preserve">También como estado de WhatsApp.</t>
  </si>
  <si>
    <t xml:space="preserve">12 a 13 h</t>
  </si>
  <si>
    <t xml:space="preserve">Una oferta del día</t>
  </si>
  <si>
    <t xml:space="preserve">Sticker de enlace a la oferta</t>
  </si>
  <si>
    <t xml:space="preserve">Rotá rubros.</t>
  </si>
  <si>
    <t xml:space="preserve">Lunes</t>
  </si>
  <si>
    <t xml:space="preserve">18 h</t>
  </si>
  <si>
    <t xml:space="preserve">Encuesta: «¿Cruzás esta semana?»</t>
  </si>
  <si>
    <t xml:space="preserve">fondo liso de marca</t>
  </si>
  <si>
    <t xml:space="preserve">Sticker de encuesta</t>
  </si>
  <si>
    <t xml:space="preserve">Sirve para saber cuánta gente cruza.</t>
  </si>
  <si>
    <t xml:space="preserve">Martes</t>
  </si>
  <si>
    <t xml:space="preserve">Quiz del cambio: «¿Cuántos Bs te dan por $1.000?»</t>
  </si>
  <si>
    <t xml:space="preserve">historia-4-quiz-cambio</t>
  </si>
  <si>
    <t xml:space="preserve">Sticker de quiz</t>
  </si>
  <si>
    <t xml:space="preserve">Al día siguiente, publicá la respuesta.</t>
  </si>
  <si>
    <t xml:space="preserve">Miércoles</t>
  </si>
  <si>
    <t xml:space="preserve">Caja de preguntas: «Preguntale a Dax»</t>
  </si>
  <si>
    <t xml:space="preserve">Sticker de preguntas</t>
  </si>
  <si>
    <t xml:space="preserve">Las respuestas van al Reel «Preguntale a Dax».</t>
  </si>
  <si>
    <t xml:space="preserve">Jueves</t>
  </si>
  <si>
    <t xml:space="preserve">«Esto o aquello» entre dos productos</t>
  </si>
  <si>
    <t xml:space="preserve">2 fotos de producto</t>
  </si>
  <si>
    <t xml:space="preserve">Viernes</t>
  </si>
  <si>
    <t xml:space="preserve">«¿Qué buscás este finde?»</t>
  </si>
  <si>
    <t xml:space="preserve">Usá las respuestas para las ofertas del lunes.</t>
  </si>
  <si>
    <t xml:space="preserve">Sábado</t>
  </si>
  <si>
    <t xml:space="preserve">Todo el día</t>
  </si>
  <si>
    <t xml:space="preserve">Compartir las historias de los negocios que mencionan a Uruku</t>
  </si>
  <si>
    <t xml:space="preserve">Agradecé siempre.</t>
  </si>
  <si>
    <t xml:space="preserve">Domingo</t>
  </si>
  <si>
    <t xml:space="preserve">19 h</t>
  </si>
  <si>
    <t xml:space="preserve">Resumen de la semana + adelanto de la próxima</t>
  </si>
  <si>
    <t xml:space="preserve">Sticker de enlace</t>
  </si>
  <si>
    <t xml:space="preserve">Seguidores Instagram</t>
  </si>
  <si>
    <t xml:space="preserve">Seguidores TikTok</t>
  </si>
  <si>
    <t xml:space="preserve">Seguidores Facebook</t>
  </si>
  <si>
    <t xml:space="preserve">Total seguidores</t>
  </si>
  <si>
    <t xml:space="preserve">Crecimiento vs semana anterior</t>
  </si>
  <si>
    <t xml:space="preserve">Visitas a la web desde redes</t>
  </si>
  <si>
    <t xml:space="preserve">Clics en enlaces</t>
  </si>
  <si>
    <t xml:space="preserve">Mensajes recibidos</t>
  </si>
  <si>
    <t xml:space="preserve">Negocios nuevos</t>
  </si>
  <si>
    <t xml:space="preserve">Publicación con mejor resultado</t>
  </si>
  <si>
    <t xml:space="preserve">Lanzamiento (semana 0)</t>
  </si>
  <si>
    <t xml:space="preserve">-</t>
  </si>
  <si>
    <t xml:space="preserve">Ej.: Post 1 · ¡Llegó Uruku!</t>
  </si>
  <si>
    <t xml:space="preserve">Semana 1</t>
  </si>
  <si>
    <t xml:space="preserve">Semana 2</t>
  </si>
  <si>
    <t xml:space="preserve">Semana 3</t>
  </si>
  <si>
    <t xml:space="preserve">Semana 4</t>
  </si>
  <si>
    <t xml:space="preserve">Completá las celdas amarillas cada domingo. «Total» y «Crecimiento» se calculan solos. La fila de lanzamiento arranca en 0.</t>
  </si>
  <si>
    <t xml:space="preserve">Total del mes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</si>
</sst>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/mm"/>
    <numFmt numFmtId="167" formatCode="General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8D52"/>
      <name val="Arial"/>
      <family val="0"/>
      <charset val="1"/>
    </font>
    <font>
      <sz val="11"/>
      <color rgb="FF214533"/>
      <name val="Arial"/>
      <family val="0"/>
      <charset val="1"/>
    </font>
    <font>
      <b val="true"/>
      <sz val="11"/>
      <color rgb="FF1D8D52"/>
      <name val="Arial"/>
      <family val="0"/>
      <charset val="1"/>
    </font>
    <font>
      <b val="true"/>
      <sz val="11"/>
      <color rgb="FF21453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4E605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A978E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1D8D52"/>
        <bgColor rgb="FF008080"/>
      </patternFill>
    </fill>
    <fill>
      <patternFill patternType="solid">
        <fgColor rgb="FFE6F2EA"/>
        <bgColor rgb="FFE6E2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2D6"/>
      </left>
      <right style="thin">
        <color rgb="FFE6E2D6"/>
      </right>
      <top style="thin">
        <color rgb="FFE6E2D6"/>
      </top>
      <bottom style="thin">
        <color rgb="FFE6E2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E6F2EA"/>
      <rgbColor rgb="FF660066"/>
      <rgbColor rgb="FFFF8080"/>
      <rgbColor rgb="FF0066CC"/>
      <rgbColor rgb="FFE6E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E6053"/>
      <rgbColor rgb="FF8A978E"/>
      <rgbColor rgb="FF003366"/>
      <rgbColor rgb="FF1D8D52"/>
      <rgbColor rgb="FF003300"/>
      <rgbColor rgb="FF333300"/>
      <rgbColor rgb="FF993300"/>
      <rgbColor rgb="FF993366"/>
      <rgbColor rgb="FF333399"/>
      <rgbColor rgb="FF214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6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4"/>
    </row>
    <row r="17" customFormat="false" ht="15" hidden="false" customHeight="true" outlineLevel="0" collapsed="false">
      <c r="A17" s="5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5" t="s">
        <v>19</v>
      </c>
    </row>
    <row r="25" customFormat="false" ht="26.25" hidden="false" customHeight="tru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44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1" min="11" style="1" width="36"/>
  </cols>
  <sheetData>
    <row r="1" customFormat="false" ht="15" hidden="false" customHeight="true" outlineLevel="0" collapsed="false">
      <c r="A1" s="6" t="s">
        <v>21</v>
      </c>
      <c r="C1" s="7" t="n">
        <v>46314</v>
      </c>
      <c r="D1" s="8" t="s">
        <v>22</v>
      </c>
    </row>
    <row r="3" customFormat="false" ht="39" hidden="false" customHeight="true" outlineLevel="0" collapsed="false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</row>
    <row r="4" customFormat="false" ht="26.25" hidden="false" customHeight="true" outlineLevel="0" collapsed="false">
      <c r="A4" s="10" t="n">
        <v>1</v>
      </c>
      <c r="B4" s="10" t="s">
        <v>34</v>
      </c>
      <c r="C4" s="11" t="n">
        <f aca="false">$C$1+0</f>
        <v>46314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42</v>
      </c>
    </row>
    <row r="5" customFormat="false" ht="26.25" hidden="false" customHeight="true" outlineLevel="0" collapsed="false">
      <c r="A5" s="12" t="n">
        <v>1</v>
      </c>
      <c r="B5" s="12" t="s">
        <v>43</v>
      </c>
      <c r="C5" s="13" t="n">
        <f aca="false">$C$1+1</f>
        <v>46315</v>
      </c>
      <c r="D5" s="12" t="s">
        <v>44</v>
      </c>
      <c r="E5" s="12" t="s">
        <v>45</v>
      </c>
      <c r="F5" s="12" t="s">
        <v>37</v>
      </c>
      <c r="G5" s="12" t="s">
        <v>46</v>
      </c>
      <c r="H5" s="12" t="s">
        <v>47</v>
      </c>
      <c r="I5" s="12" t="s">
        <v>40</v>
      </c>
      <c r="J5" s="12" t="s">
        <v>41</v>
      </c>
      <c r="K5" s="12"/>
    </row>
    <row r="6" customFormat="false" ht="26.25" hidden="false" customHeight="true" outlineLevel="0" collapsed="false">
      <c r="A6" s="12" t="n">
        <v>1</v>
      </c>
      <c r="B6" s="12" t="s">
        <v>48</v>
      </c>
      <c r="C6" s="13" t="n">
        <f aca="false">$C$1+2</f>
        <v>46316</v>
      </c>
      <c r="D6" s="12" t="s">
        <v>49</v>
      </c>
      <c r="E6" s="12" t="s">
        <v>50</v>
      </c>
      <c r="F6" s="12" t="s">
        <v>51</v>
      </c>
      <c r="G6" s="12" t="s">
        <v>52</v>
      </c>
      <c r="H6" s="12" t="s">
        <v>53</v>
      </c>
      <c r="I6" s="12" t="s">
        <v>40</v>
      </c>
      <c r="J6" s="12" t="s">
        <v>41</v>
      </c>
      <c r="K6" s="12"/>
    </row>
    <row r="7" customFormat="false" ht="26.25" hidden="false" customHeight="true" outlineLevel="0" collapsed="false">
      <c r="A7" s="12" t="n">
        <v>1</v>
      </c>
      <c r="B7" s="12" t="s">
        <v>54</v>
      </c>
      <c r="C7" s="13" t="n">
        <f aca="false">$C$1+3</f>
        <v>46317</v>
      </c>
      <c r="D7" s="12" t="s">
        <v>44</v>
      </c>
      <c r="E7" s="12" t="s">
        <v>45</v>
      </c>
      <c r="F7" s="12" t="s">
        <v>55</v>
      </c>
      <c r="G7" s="12" t="s">
        <v>56</v>
      </c>
      <c r="H7" s="12" t="s">
        <v>57</v>
      </c>
      <c r="I7" s="12" t="s">
        <v>40</v>
      </c>
      <c r="J7" s="12" t="s">
        <v>41</v>
      </c>
      <c r="K7" s="12"/>
    </row>
    <row r="8" customFormat="false" ht="26.25" hidden="false" customHeight="true" outlineLevel="0" collapsed="false">
      <c r="A8" s="12" t="n">
        <v>1</v>
      </c>
      <c r="B8" s="12" t="s">
        <v>58</v>
      </c>
      <c r="C8" s="13" t="n">
        <f aca="false">$C$1+4</f>
        <v>46318</v>
      </c>
      <c r="D8" s="12" t="s">
        <v>44</v>
      </c>
      <c r="E8" s="12" t="s">
        <v>45</v>
      </c>
      <c r="F8" s="12" t="s">
        <v>59</v>
      </c>
      <c r="G8" s="12" t="s">
        <v>60</v>
      </c>
      <c r="H8" s="12" t="s">
        <v>61</v>
      </c>
      <c r="I8" s="12" t="s">
        <v>40</v>
      </c>
      <c r="J8" s="12" t="s">
        <v>41</v>
      </c>
      <c r="K8" s="12"/>
    </row>
    <row r="9" customFormat="false" ht="26.25" hidden="false" customHeight="true" outlineLevel="0" collapsed="false">
      <c r="A9" s="12" t="n">
        <v>1</v>
      </c>
      <c r="B9" s="12" t="s">
        <v>62</v>
      </c>
      <c r="C9" s="13" t="n">
        <f aca="false">$C$1+5</f>
        <v>46319</v>
      </c>
      <c r="D9" s="12" t="s">
        <v>63</v>
      </c>
      <c r="E9" s="12" t="s">
        <v>64</v>
      </c>
      <c r="F9" s="12" t="s">
        <v>65</v>
      </c>
      <c r="G9" s="12" t="s">
        <v>66</v>
      </c>
      <c r="H9" s="12" t="s">
        <v>67</v>
      </c>
      <c r="I9" s="12" t="s">
        <v>40</v>
      </c>
      <c r="J9" s="12" t="s">
        <v>41</v>
      </c>
      <c r="K9" s="12"/>
    </row>
    <row r="10" customFormat="false" ht="26.25" hidden="false" customHeight="true" outlineLevel="0" collapsed="false">
      <c r="A10" s="14" t="n">
        <v>1</v>
      </c>
      <c r="B10" s="14" t="s">
        <v>68</v>
      </c>
      <c r="C10" s="15" t="n">
        <f aca="false">$C$1+6</f>
        <v>46320</v>
      </c>
      <c r="D10" s="14" t="s">
        <v>39</v>
      </c>
      <c r="E10" s="14" t="s">
        <v>69</v>
      </c>
      <c r="F10" s="14" t="s">
        <v>39</v>
      </c>
      <c r="G10" s="14" t="s">
        <v>70</v>
      </c>
      <c r="H10" s="14" t="s">
        <v>39</v>
      </c>
      <c r="I10" s="14" t="s">
        <v>40</v>
      </c>
      <c r="J10" s="14" t="s">
        <v>41</v>
      </c>
      <c r="K10" s="14"/>
    </row>
    <row r="11" customFormat="false" ht="26.25" hidden="false" customHeight="true" outlineLevel="0" collapsed="false">
      <c r="A11" s="12" t="n">
        <v>2</v>
      </c>
      <c r="B11" s="12" t="s">
        <v>34</v>
      </c>
      <c r="C11" s="13" t="n">
        <f aca="false">$C$1+7</f>
        <v>46321</v>
      </c>
      <c r="D11" s="12" t="s">
        <v>44</v>
      </c>
      <c r="E11" s="12" t="s">
        <v>45</v>
      </c>
      <c r="F11" s="12" t="s">
        <v>65</v>
      </c>
      <c r="G11" s="12" t="s">
        <v>71</v>
      </c>
      <c r="H11" s="12" t="s">
        <v>72</v>
      </c>
      <c r="I11" s="12" t="s">
        <v>40</v>
      </c>
      <c r="J11" s="12" t="s">
        <v>41</v>
      </c>
      <c r="K11" s="12"/>
    </row>
    <row r="12" customFormat="false" ht="26.25" hidden="false" customHeight="true" outlineLevel="0" collapsed="false">
      <c r="A12" s="12" t="n">
        <v>2</v>
      </c>
      <c r="B12" s="12" t="s">
        <v>43</v>
      </c>
      <c r="C12" s="13" t="n">
        <f aca="false">$C$1+8</f>
        <v>46322</v>
      </c>
      <c r="D12" s="12" t="s">
        <v>73</v>
      </c>
      <c r="E12" s="12" t="s">
        <v>50</v>
      </c>
      <c r="F12" s="12" t="s">
        <v>59</v>
      </c>
      <c r="G12" s="12" t="s">
        <v>74</v>
      </c>
      <c r="H12" s="12" t="s">
        <v>75</v>
      </c>
      <c r="I12" s="12" t="s">
        <v>40</v>
      </c>
      <c r="J12" s="12" t="s">
        <v>41</v>
      </c>
      <c r="K12" s="12"/>
    </row>
    <row r="13" customFormat="false" ht="26.25" hidden="false" customHeight="true" outlineLevel="0" collapsed="false">
      <c r="A13" s="12" t="n">
        <v>2</v>
      </c>
      <c r="B13" s="12" t="s">
        <v>48</v>
      </c>
      <c r="C13" s="13" t="n">
        <f aca="false">$C$1+9</f>
        <v>46323</v>
      </c>
      <c r="D13" s="12" t="s">
        <v>44</v>
      </c>
      <c r="E13" s="12" t="s">
        <v>45</v>
      </c>
      <c r="F13" s="12" t="s">
        <v>59</v>
      </c>
      <c r="G13" s="12" t="s">
        <v>76</v>
      </c>
      <c r="H13" s="12" t="s">
        <v>77</v>
      </c>
      <c r="I13" s="12" t="s">
        <v>40</v>
      </c>
      <c r="J13" s="12" t="s">
        <v>41</v>
      </c>
      <c r="K13" s="12"/>
    </row>
    <row r="14" customFormat="false" ht="26.25" hidden="false" customHeight="true" outlineLevel="0" collapsed="false">
      <c r="A14" s="12" t="n">
        <v>2</v>
      </c>
      <c r="B14" s="12" t="s">
        <v>54</v>
      </c>
      <c r="C14" s="13" t="n">
        <f aca="false">$C$1+10</f>
        <v>46324</v>
      </c>
      <c r="D14" s="12" t="s">
        <v>73</v>
      </c>
      <c r="E14" s="12" t="s">
        <v>78</v>
      </c>
      <c r="F14" s="12" t="s">
        <v>55</v>
      </c>
      <c r="G14" s="12" t="s">
        <v>79</v>
      </c>
      <c r="H14" s="12" t="s">
        <v>80</v>
      </c>
      <c r="I14" s="12" t="s">
        <v>40</v>
      </c>
      <c r="J14" s="12" t="s">
        <v>41</v>
      </c>
      <c r="K14" s="12"/>
    </row>
    <row r="15" customFormat="false" ht="26.25" hidden="false" customHeight="true" outlineLevel="0" collapsed="false">
      <c r="A15" s="12" t="n">
        <v>2</v>
      </c>
      <c r="B15" s="12" t="s">
        <v>58</v>
      </c>
      <c r="C15" s="13" t="n">
        <f aca="false">$C$1+11</f>
        <v>46325</v>
      </c>
      <c r="D15" s="12" t="s">
        <v>44</v>
      </c>
      <c r="E15" s="12" t="s">
        <v>45</v>
      </c>
      <c r="F15" s="12" t="s">
        <v>51</v>
      </c>
      <c r="G15" s="12" t="s">
        <v>81</v>
      </c>
      <c r="H15" s="12" t="s">
        <v>82</v>
      </c>
      <c r="I15" s="12" t="s">
        <v>40</v>
      </c>
      <c r="J15" s="12" t="s">
        <v>41</v>
      </c>
      <c r="K15" s="12" t="s">
        <v>83</v>
      </c>
    </row>
    <row r="16" customFormat="false" ht="26.25" hidden="false" customHeight="true" outlineLevel="0" collapsed="false">
      <c r="A16" s="12" t="n">
        <v>2</v>
      </c>
      <c r="B16" s="12" t="s">
        <v>62</v>
      </c>
      <c r="C16" s="13" t="n">
        <f aca="false">$C$1+12</f>
        <v>46326</v>
      </c>
      <c r="D16" s="12" t="s">
        <v>63</v>
      </c>
      <c r="E16" s="12" t="s">
        <v>64</v>
      </c>
      <c r="F16" s="12" t="s">
        <v>37</v>
      </c>
      <c r="G16" s="12" t="s">
        <v>84</v>
      </c>
      <c r="H16" s="12" t="s">
        <v>85</v>
      </c>
      <c r="I16" s="12" t="s">
        <v>40</v>
      </c>
      <c r="J16" s="12" t="s">
        <v>41</v>
      </c>
      <c r="K16" s="12"/>
    </row>
    <row r="17" customFormat="false" ht="26.25" hidden="false" customHeight="true" outlineLevel="0" collapsed="false">
      <c r="A17" s="14" t="n">
        <v>2</v>
      </c>
      <c r="B17" s="14" t="s">
        <v>68</v>
      </c>
      <c r="C17" s="15" t="n">
        <f aca="false">$C$1+13</f>
        <v>46327</v>
      </c>
      <c r="D17" s="14" t="s">
        <v>39</v>
      </c>
      <c r="E17" s="14" t="s">
        <v>69</v>
      </c>
      <c r="F17" s="14" t="s">
        <v>39</v>
      </c>
      <c r="G17" s="14" t="s">
        <v>70</v>
      </c>
      <c r="H17" s="14" t="s">
        <v>39</v>
      </c>
      <c r="I17" s="14" t="s">
        <v>40</v>
      </c>
      <c r="J17" s="14" t="s">
        <v>41</v>
      </c>
      <c r="K17" s="14"/>
    </row>
    <row r="18" customFormat="false" ht="26.25" hidden="false" customHeight="true" outlineLevel="0" collapsed="false">
      <c r="A18" s="12" t="n">
        <v>3</v>
      </c>
      <c r="B18" s="12" t="s">
        <v>34</v>
      </c>
      <c r="C18" s="13" t="n">
        <f aca="false">$C$1+14</f>
        <v>46328</v>
      </c>
      <c r="D18" s="12" t="s">
        <v>44</v>
      </c>
      <c r="E18" s="12" t="s">
        <v>45</v>
      </c>
      <c r="F18" s="12" t="s">
        <v>65</v>
      </c>
      <c r="G18" s="12" t="s">
        <v>71</v>
      </c>
      <c r="H18" s="12" t="s">
        <v>72</v>
      </c>
      <c r="I18" s="12" t="s">
        <v>40</v>
      </c>
      <c r="J18" s="12" t="s">
        <v>41</v>
      </c>
      <c r="K18" s="12"/>
    </row>
    <row r="19" customFormat="false" ht="26.25" hidden="false" customHeight="true" outlineLevel="0" collapsed="false">
      <c r="A19" s="12" t="n">
        <v>3</v>
      </c>
      <c r="B19" s="12" t="s">
        <v>43</v>
      </c>
      <c r="C19" s="13" t="n">
        <f aca="false">$C$1+15</f>
        <v>46329</v>
      </c>
      <c r="D19" s="12" t="s">
        <v>49</v>
      </c>
      <c r="E19" s="12" t="s">
        <v>50</v>
      </c>
      <c r="F19" s="12" t="s">
        <v>59</v>
      </c>
      <c r="G19" s="12" t="s">
        <v>86</v>
      </c>
      <c r="H19" s="12" t="s">
        <v>87</v>
      </c>
      <c r="I19" s="12" t="s">
        <v>40</v>
      </c>
      <c r="J19" s="12" t="s">
        <v>41</v>
      </c>
      <c r="K19" s="12"/>
    </row>
    <row r="20" customFormat="false" ht="26.25" hidden="false" customHeight="true" outlineLevel="0" collapsed="false">
      <c r="A20" s="12" t="n">
        <v>3</v>
      </c>
      <c r="B20" s="12" t="s">
        <v>48</v>
      </c>
      <c r="C20" s="13" t="n">
        <f aca="false">$C$1+16</f>
        <v>46330</v>
      </c>
      <c r="D20" s="12" t="s">
        <v>44</v>
      </c>
      <c r="E20" s="12" t="s">
        <v>45</v>
      </c>
      <c r="F20" s="12" t="s">
        <v>55</v>
      </c>
      <c r="G20" s="12" t="s">
        <v>88</v>
      </c>
      <c r="H20" s="12" t="s">
        <v>57</v>
      </c>
      <c r="I20" s="12" t="s">
        <v>40</v>
      </c>
      <c r="J20" s="12" t="s">
        <v>41</v>
      </c>
      <c r="K20" s="12"/>
    </row>
    <row r="21" customFormat="false" ht="26.25" hidden="false" customHeight="true" outlineLevel="0" collapsed="false">
      <c r="A21" s="12" t="n">
        <v>3</v>
      </c>
      <c r="B21" s="12" t="s">
        <v>54</v>
      </c>
      <c r="C21" s="13" t="n">
        <f aca="false">$C$1+17</f>
        <v>46331</v>
      </c>
      <c r="D21" s="12" t="s">
        <v>73</v>
      </c>
      <c r="E21" s="12" t="s">
        <v>78</v>
      </c>
      <c r="F21" s="12" t="s">
        <v>89</v>
      </c>
      <c r="G21" s="12" t="s">
        <v>90</v>
      </c>
      <c r="H21" s="12" t="s">
        <v>91</v>
      </c>
      <c r="I21" s="12" t="s">
        <v>40</v>
      </c>
      <c r="J21" s="12" t="s">
        <v>41</v>
      </c>
      <c r="K21" s="12"/>
    </row>
    <row r="22" customFormat="false" ht="26.25" hidden="false" customHeight="true" outlineLevel="0" collapsed="false">
      <c r="A22" s="12" t="n">
        <v>3</v>
      </c>
      <c r="B22" s="12" t="s">
        <v>58</v>
      </c>
      <c r="C22" s="13" t="n">
        <f aca="false">$C$1+18</f>
        <v>46332</v>
      </c>
      <c r="D22" s="12" t="s">
        <v>44</v>
      </c>
      <c r="E22" s="12" t="s">
        <v>45</v>
      </c>
      <c r="F22" s="12" t="s">
        <v>65</v>
      </c>
      <c r="G22" s="12" t="s">
        <v>92</v>
      </c>
      <c r="H22" s="12" t="s">
        <v>67</v>
      </c>
      <c r="I22" s="12" t="s">
        <v>40</v>
      </c>
      <c r="J22" s="12" t="s">
        <v>41</v>
      </c>
      <c r="K22" s="12"/>
    </row>
    <row r="23" customFormat="false" ht="26.25" hidden="false" customHeight="true" outlineLevel="0" collapsed="false">
      <c r="A23" s="12" t="n">
        <v>3</v>
      </c>
      <c r="B23" s="12" t="s">
        <v>62</v>
      </c>
      <c r="C23" s="13" t="n">
        <f aca="false">$C$1+19</f>
        <v>46333</v>
      </c>
      <c r="D23" s="12" t="s">
        <v>93</v>
      </c>
      <c r="E23" s="12" t="s">
        <v>64</v>
      </c>
      <c r="F23" s="12" t="s">
        <v>51</v>
      </c>
      <c r="G23" s="12" t="s">
        <v>94</v>
      </c>
      <c r="H23" s="12" t="s">
        <v>95</v>
      </c>
      <c r="I23" s="12" t="s">
        <v>40</v>
      </c>
      <c r="J23" s="12" t="s">
        <v>41</v>
      </c>
      <c r="K23" s="12" t="s">
        <v>96</v>
      </c>
    </row>
    <row r="24" customFormat="false" ht="26.25" hidden="false" customHeight="true" outlineLevel="0" collapsed="false">
      <c r="A24" s="14" t="n">
        <v>3</v>
      </c>
      <c r="B24" s="14" t="s">
        <v>68</v>
      </c>
      <c r="C24" s="15" t="n">
        <f aca="false">$C$1+20</f>
        <v>46334</v>
      </c>
      <c r="D24" s="14" t="s">
        <v>39</v>
      </c>
      <c r="E24" s="14" t="s">
        <v>69</v>
      </c>
      <c r="F24" s="14" t="s">
        <v>39</v>
      </c>
      <c r="G24" s="14" t="s">
        <v>70</v>
      </c>
      <c r="H24" s="14" t="s">
        <v>39</v>
      </c>
      <c r="I24" s="14" t="s">
        <v>40</v>
      </c>
      <c r="J24" s="14" t="s">
        <v>41</v>
      </c>
      <c r="K24" s="14"/>
    </row>
    <row r="25" customFormat="false" ht="26.25" hidden="false" customHeight="true" outlineLevel="0" collapsed="false">
      <c r="A25" s="12" t="n">
        <v>4</v>
      </c>
      <c r="B25" s="12" t="s">
        <v>34</v>
      </c>
      <c r="C25" s="13" t="n">
        <f aca="false">$C$1+21</f>
        <v>46335</v>
      </c>
      <c r="D25" s="12" t="s">
        <v>44</v>
      </c>
      <c r="E25" s="12" t="s">
        <v>45</v>
      </c>
      <c r="F25" s="12" t="s">
        <v>65</v>
      </c>
      <c r="G25" s="12" t="s">
        <v>71</v>
      </c>
      <c r="H25" s="12" t="s">
        <v>72</v>
      </c>
      <c r="I25" s="12" t="s">
        <v>40</v>
      </c>
      <c r="J25" s="12" t="s">
        <v>41</v>
      </c>
      <c r="K25" s="12"/>
    </row>
    <row r="26" customFormat="false" ht="26.25" hidden="false" customHeight="true" outlineLevel="0" collapsed="false">
      <c r="A26" s="12" t="n">
        <v>4</v>
      </c>
      <c r="B26" s="12" t="s">
        <v>43</v>
      </c>
      <c r="C26" s="13" t="n">
        <f aca="false">$C$1+22</f>
        <v>46336</v>
      </c>
      <c r="D26" s="12" t="s">
        <v>49</v>
      </c>
      <c r="E26" s="12" t="s">
        <v>50</v>
      </c>
      <c r="F26" s="12" t="s">
        <v>59</v>
      </c>
      <c r="G26" s="12" t="s">
        <v>97</v>
      </c>
      <c r="H26" s="12" t="s">
        <v>98</v>
      </c>
      <c r="I26" s="12" t="s">
        <v>40</v>
      </c>
      <c r="J26" s="12" t="s">
        <v>41</v>
      </c>
      <c r="K26" s="12"/>
    </row>
    <row r="27" customFormat="false" ht="26.25" hidden="false" customHeight="true" outlineLevel="0" collapsed="false">
      <c r="A27" s="12" t="n">
        <v>4</v>
      </c>
      <c r="B27" s="12" t="s">
        <v>48</v>
      </c>
      <c r="C27" s="13" t="n">
        <f aca="false">$C$1+23</f>
        <v>46337</v>
      </c>
      <c r="D27" s="12" t="s">
        <v>44</v>
      </c>
      <c r="E27" s="12" t="s">
        <v>45</v>
      </c>
      <c r="F27" s="12" t="s">
        <v>65</v>
      </c>
      <c r="G27" s="12" t="s">
        <v>99</v>
      </c>
      <c r="H27" s="12" t="s">
        <v>100</v>
      </c>
      <c r="I27" s="12" t="s">
        <v>40</v>
      </c>
      <c r="J27" s="12" t="s">
        <v>41</v>
      </c>
      <c r="K27" s="12" t="s">
        <v>101</v>
      </c>
    </row>
    <row r="28" customFormat="false" ht="26.25" hidden="false" customHeight="true" outlineLevel="0" collapsed="false">
      <c r="A28" s="12" t="n">
        <v>4</v>
      </c>
      <c r="B28" s="12" t="s">
        <v>54</v>
      </c>
      <c r="C28" s="13" t="n">
        <f aca="false">$C$1+24</f>
        <v>46338</v>
      </c>
      <c r="D28" s="12" t="s">
        <v>73</v>
      </c>
      <c r="E28" s="12" t="s">
        <v>78</v>
      </c>
      <c r="F28" s="12" t="s">
        <v>55</v>
      </c>
      <c r="G28" s="12" t="s">
        <v>102</v>
      </c>
      <c r="H28" s="12" t="s">
        <v>80</v>
      </c>
      <c r="I28" s="12" t="s">
        <v>40</v>
      </c>
      <c r="J28" s="12" t="s">
        <v>41</v>
      </c>
      <c r="K28" s="12"/>
    </row>
    <row r="29" customFormat="false" ht="26.25" hidden="false" customHeight="true" outlineLevel="0" collapsed="false">
      <c r="A29" s="12" t="n">
        <v>4</v>
      </c>
      <c r="B29" s="12" t="s">
        <v>58</v>
      </c>
      <c r="C29" s="13" t="n">
        <f aca="false">$C$1+25</f>
        <v>46339</v>
      </c>
      <c r="D29" s="12" t="s">
        <v>44</v>
      </c>
      <c r="E29" s="12" t="s">
        <v>45</v>
      </c>
      <c r="F29" s="12" t="s">
        <v>51</v>
      </c>
      <c r="G29" s="12" t="s">
        <v>103</v>
      </c>
      <c r="H29" s="12" t="s">
        <v>82</v>
      </c>
      <c r="I29" s="12" t="s">
        <v>40</v>
      </c>
      <c r="J29" s="12" t="s">
        <v>41</v>
      </c>
      <c r="K29" s="12"/>
    </row>
    <row r="30" customFormat="false" ht="26.25" hidden="false" customHeight="true" outlineLevel="0" collapsed="false">
      <c r="A30" s="12" t="n">
        <v>4</v>
      </c>
      <c r="B30" s="12" t="s">
        <v>62</v>
      </c>
      <c r="C30" s="13" t="n">
        <f aca="false">$C$1+26</f>
        <v>46340</v>
      </c>
      <c r="D30" s="12" t="s">
        <v>73</v>
      </c>
      <c r="E30" s="12" t="s">
        <v>78</v>
      </c>
      <c r="F30" s="12" t="s">
        <v>37</v>
      </c>
      <c r="G30" s="12" t="s">
        <v>104</v>
      </c>
      <c r="H30" s="12" t="s">
        <v>105</v>
      </c>
      <c r="I30" s="12" t="s">
        <v>40</v>
      </c>
      <c r="J30" s="12" t="s">
        <v>41</v>
      </c>
      <c r="K30" s="12" t="s">
        <v>106</v>
      </c>
    </row>
    <row r="31" customFormat="false" ht="26.25" hidden="false" customHeight="true" outlineLevel="0" collapsed="false">
      <c r="A31" s="14" t="n">
        <v>4</v>
      </c>
      <c r="B31" s="14" t="s">
        <v>68</v>
      </c>
      <c r="C31" s="15" t="n">
        <f aca="false">$C$1+27</f>
        <v>46341</v>
      </c>
      <c r="D31" s="14" t="s">
        <v>39</v>
      </c>
      <c r="E31" s="14" t="s">
        <v>69</v>
      </c>
      <c r="F31" s="14" t="s">
        <v>39</v>
      </c>
      <c r="G31" s="14" t="s">
        <v>70</v>
      </c>
      <c r="H31" s="14" t="s">
        <v>39</v>
      </c>
      <c r="I31" s="14" t="s">
        <v>40</v>
      </c>
      <c r="J31" s="14" t="s">
        <v>41</v>
      </c>
      <c r="K31" s="14"/>
    </row>
  </sheetData>
  <dataValidations count="1">
    <dataValidation allowBlank="true" errorStyle="stop" operator="between" showDropDown="false" showErrorMessage="false" showInputMessage="false" sqref="J4:J31" type="list">
      <formula1>"Pendiente,En preparación,Grabado,Publicado"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70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22"/>
    <col collapsed="false" customWidth="true" hidden="false" outlineLevel="0" max="13" min="13" style="1" width="12"/>
  </cols>
  <sheetData>
    <row r="1" customFormat="false" ht="26.25" hidden="false" customHeight="true" outlineLevel="0" collapsed="false">
      <c r="A1" s="9" t="s">
        <v>107</v>
      </c>
      <c r="B1" s="9" t="s">
        <v>108</v>
      </c>
      <c r="C1" s="9" t="s">
        <v>27</v>
      </c>
      <c r="D1" s="9" t="s">
        <v>26</v>
      </c>
      <c r="E1" s="9" t="s">
        <v>28</v>
      </c>
      <c r="F1" s="9" t="s">
        <v>109</v>
      </c>
      <c r="G1" s="9" t="s">
        <v>110</v>
      </c>
      <c r="H1" s="9" t="s">
        <v>111</v>
      </c>
      <c r="I1" s="9" t="s">
        <v>112</v>
      </c>
      <c r="J1" s="9" t="s">
        <v>113</v>
      </c>
      <c r="K1" s="9" t="s">
        <v>114</v>
      </c>
      <c r="L1" s="9" t="s">
        <v>115</v>
      </c>
      <c r="M1" s="9" t="s">
        <v>116</v>
      </c>
    </row>
    <row r="2" customFormat="false" ht="51.75" hidden="false" customHeight="true" outlineLevel="0" collapsed="false">
      <c r="A2" s="12" t="s">
        <v>47</v>
      </c>
      <c r="B2" s="12" t="s">
        <v>46</v>
      </c>
      <c r="C2" s="12" t="s">
        <v>45</v>
      </c>
      <c r="D2" s="12" t="s">
        <v>44</v>
      </c>
      <c r="E2" s="12" t="s">
        <v>37</v>
      </c>
      <c r="F2" s="12" t="s">
        <v>117</v>
      </c>
      <c r="G2" s="12" t="s">
        <v>118</v>
      </c>
      <c r="H2" s="12" t="s">
        <v>119</v>
      </c>
      <c r="I2" s="12" t="s">
        <v>120</v>
      </c>
      <c r="J2" s="12" t="s">
        <v>121</v>
      </c>
      <c r="K2" s="12" t="s">
        <v>122</v>
      </c>
      <c r="L2" s="12" t="s">
        <v>123</v>
      </c>
      <c r="M2" s="12" t="s">
        <v>124</v>
      </c>
    </row>
    <row r="3" customFormat="false" ht="51.75" hidden="false" customHeight="true" outlineLevel="0" collapsed="false">
      <c r="A3" s="12" t="s">
        <v>53</v>
      </c>
      <c r="B3" s="12" t="s">
        <v>52</v>
      </c>
      <c r="C3" s="12" t="s">
        <v>125</v>
      </c>
      <c r="D3" s="12" t="s">
        <v>49</v>
      </c>
      <c r="E3" s="12" t="s">
        <v>51</v>
      </c>
      <c r="F3" s="12" t="s">
        <v>126</v>
      </c>
      <c r="G3" s="12" t="s">
        <v>127</v>
      </c>
      <c r="H3" s="12" t="s">
        <v>128</v>
      </c>
      <c r="I3" s="12" t="s">
        <v>129</v>
      </c>
      <c r="J3" s="12" t="s">
        <v>39</v>
      </c>
      <c r="K3" s="12" t="s">
        <v>130</v>
      </c>
      <c r="L3" s="12" t="s">
        <v>131</v>
      </c>
      <c r="M3" s="12" t="s">
        <v>132</v>
      </c>
    </row>
    <row r="4" customFormat="false" ht="51.75" hidden="false" customHeight="true" outlineLevel="0" collapsed="false">
      <c r="A4" s="12" t="s">
        <v>57</v>
      </c>
      <c r="B4" s="12" t="s">
        <v>133</v>
      </c>
      <c r="C4" s="12" t="s">
        <v>45</v>
      </c>
      <c r="D4" s="12" t="s">
        <v>44</v>
      </c>
      <c r="E4" s="12" t="s">
        <v>55</v>
      </c>
      <c r="F4" s="12" t="s">
        <v>134</v>
      </c>
      <c r="G4" s="12" t="s">
        <v>135</v>
      </c>
      <c r="H4" s="12" t="s">
        <v>136</v>
      </c>
      <c r="I4" s="12" t="s">
        <v>137</v>
      </c>
      <c r="J4" s="12" t="s">
        <v>138</v>
      </c>
      <c r="K4" s="12" t="s">
        <v>139</v>
      </c>
      <c r="L4" s="12" t="s">
        <v>140</v>
      </c>
      <c r="M4" s="12" t="s">
        <v>141</v>
      </c>
    </row>
    <row r="5" customFormat="false" ht="51.75" hidden="false" customHeight="true" outlineLevel="0" collapsed="false">
      <c r="A5" s="12" t="s">
        <v>61</v>
      </c>
      <c r="B5" s="12" t="s">
        <v>142</v>
      </c>
      <c r="C5" s="12" t="s">
        <v>143</v>
      </c>
      <c r="D5" s="12" t="s">
        <v>44</v>
      </c>
      <c r="E5" s="12" t="s">
        <v>59</v>
      </c>
      <c r="F5" s="12" t="s">
        <v>144</v>
      </c>
      <c r="G5" s="12" t="s">
        <v>145</v>
      </c>
      <c r="H5" s="12" t="s">
        <v>146</v>
      </c>
      <c r="I5" s="12" t="s">
        <v>147</v>
      </c>
      <c r="J5" s="12" t="s">
        <v>148</v>
      </c>
      <c r="K5" s="12" t="s">
        <v>149</v>
      </c>
      <c r="L5" s="12" t="s">
        <v>150</v>
      </c>
      <c r="M5" s="12" t="s">
        <v>151</v>
      </c>
    </row>
    <row r="6" customFormat="false" ht="39" hidden="false" customHeight="true" outlineLevel="0" collapsed="false">
      <c r="A6" s="12" t="s">
        <v>67</v>
      </c>
      <c r="B6" s="12" t="s">
        <v>152</v>
      </c>
      <c r="C6" s="12" t="s">
        <v>143</v>
      </c>
      <c r="D6" s="12" t="s">
        <v>44</v>
      </c>
      <c r="E6" s="12" t="s">
        <v>65</v>
      </c>
      <c r="F6" s="12" t="s">
        <v>153</v>
      </c>
      <c r="G6" s="12" t="s">
        <v>154</v>
      </c>
      <c r="H6" s="12" t="s">
        <v>155</v>
      </c>
      <c r="I6" s="12" t="s">
        <v>156</v>
      </c>
      <c r="J6" s="12" t="s">
        <v>157</v>
      </c>
      <c r="K6" s="12" t="s">
        <v>158</v>
      </c>
      <c r="L6" s="12" t="s">
        <v>159</v>
      </c>
      <c r="M6" s="12" t="s">
        <v>160</v>
      </c>
    </row>
    <row r="7" customFormat="false" ht="39" hidden="false" customHeight="true" outlineLevel="0" collapsed="false">
      <c r="A7" s="12" t="s">
        <v>72</v>
      </c>
      <c r="B7" s="12" t="s">
        <v>71</v>
      </c>
      <c r="C7" s="12" t="s">
        <v>45</v>
      </c>
      <c r="D7" s="12" t="s">
        <v>44</v>
      </c>
      <c r="E7" s="12" t="s">
        <v>65</v>
      </c>
      <c r="F7" s="12" t="s">
        <v>161</v>
      </c>
      <c r="G7" s="12" t="s">
        <v>162</v>
      </c>
      <c r="H7" s="12" t="s">
        <v>163</v>
      </c>
      <c r="I7" s="12" t="s">
        <v>164</v>
      </c>
      <c r="J7" s="12" t="s">
        <v>148</v>
      </c>
      <c r="K7" s="12" t="s">
        <v>165</v>
      </c>
      <c r="L7" s="12" t="s">
        <v>166</v>
      </c>
      <c r="M7" s="12" t="s">
        <v>151</v>
      </c>
    </row>
    <row r="8" customFormat="false" ht="39" hidden="false" customHeight="true" outlineLevel="0" collapsed="false">
      <c r="A8" s="12" t="s">
        <v>75</v>
      </c>
      <c r="B8" s="12" t="s">
        <v>74</v>
      </c>
      <c r="C8" s="12" t="s">
        <v>167</v>
      </c>
      <c r="D8" s="12" t="s">
        <v>73</v>
      </c>
      <c r="E8" s="12" t="s">
        <v>59</v>
      </c>
      <c r="F8" s="12" t="s">
        <v>168</v>
      </c>
      <c r="G8" s="12" t="s">
        <v>169</v>
      </c>
      <c r="H8" s="12" t="s">
        <v>170</v>
      </c>
      <c r="I8" s="12" t="s">
        <v>171</v>
      </c>
      <c r="J8" s="12" t="s">
        <v>39</v>
      </c>
      <c r="K8" s="12" t="s">
        <v>172</v>
      </c>
      <c r="L8" s="12" t="s">
        <v>173</v>
      </c>
      <c r="M8" s="12" t="s">
        <v>151</v>
      </c>
    </row>
    <row r="9" customFormat="false" ht="39" hidden="false" customHeight="true" outlineLevel="0" collapsed="false">
      <c r="A9" s="12" t="s">
        <v>77</v>
      </c>
      <c r="B9" s="12" t="s">
        <v>76</v>
      </c>
      <c r="C9" s="12" t="s">
        <v>174</v>
      </c>
      <c r="D9" s="12" t="s">
        <v>44</v>
      </c>
      <c r="E9" s="12" t="s">
        <v>59</v>
      </c>
      <c r="F9" s="12" t="s">
        <v>175</v>
      </c>
      <c r="G9" s="12" t="s">
        <v>176</v>
      </c>
      <c r="H9" s="12" t="s">
        <v>177</v>
      </c>
      <c r="I9" s="12" t="s">
        <v>120</v>
      </c>
      <c r="J9" s="12" t="s">
        <v>178</v>
      </c>
      <c r="K9" s="12" t="s">
        <v>179</v>
      </c>
      <c r="L9" s="12" t="s">
        <v>150</v>
      </c>
      <c r="M9" s="12" t="s">
        <v>180</v>
      </c>
    </row>
    <row r="10" customFormat="false" ht="39" hidden="false" customHeight="true" outlineLevel="0" collapsed="false">
      <c r="A10" s="12" t="s">
        <v>80</v>
      </c>
      <c r="B10" s="12" t="s">
        <v>181</v>
      </c>
      <c r="C10" s="12" t="s">
        <v>78</v>
      </c>
      <c r="D10" s="12" t="s">
        <v>73</v>
      </c>
      <c r="E10" s="12" t="s">
        <v>55</v>
      </c>
      <c r="F10" s="12" t="s">
        <v>182</v>
      </c>
      <c r="G10" s="12" t="s">
        <v>183</v>
      </c>
      <c r="H10" s="12" t="s">
        <v>184</v>
      </c>
      <c r="I10" s="12" t="s">
        <v>185</v>
      </c>
      <c r="J10" s="12" t="s">
        <v>39</v>
      </c>
      <c r="K10" s="12" t="s">
        <v>186</v>
      </c>
      <c r="L10" s="12" t="s">
        <v>187</v>
      </c>
      <c r="M10" s="12" t="s">
        <v>188</v>
      </c>
    </row>
    <row r="11" customFormat="false" ht="51.75" hidden="false" customHeight="true" outlineLevel="0" collapsed="false">
      <c r="A11" s="12" t="s">
        <v>82</v>
      </c>
      <c r="B11" s="12" t="s">
        <v>189</v>
      </c>
      <c r="C11" s="12" t="s">
        <v>143</v>
      </c>
      <c r="D11" s="12" t="s">
        <v>44</v>
      </c>
      <c r="E11" s="12" t="s">
        <v>51</v>
      </c>
      <c r="F11" s="12" t="s">
        <v>190</v>
      </c>
      <c r="G11" s="12" t="s">
        <v>191</v>
      </c>
      <c r="H11" s="12" t="s">
        <v>192</v>
      </c>
      <c r="I11" s="12" t="s">
        <v>193</v>
      </c>
      <c r="J11" s="12" t="s">
        <v>148</v>
      </c>
      <c r="K11" s="12" t="s">
        <v>194</v>
      </c>
      <c r="L11" s="12" t="s">
        <v>195</v>
      </c>
      <c r="M11" s="12" t="s">
        <v>160</v>
      </c>
    </row>
    <row r="12" customFormat="false" ht="51.75" hidden="false" customHeight="true" outlineLevel="0" collapsed="false">
      <c r="A12" s="12" t="s">
        <v>85</v>
      </c>
      <c r="B12" s="12" t="s">
        <v>84</v>
      </c>
      <c r="C12" s="12" t="s">
        <v>196</v>
      </c>
      <c r="D12" s="12" t="s">
        <v>63</v>
      </c>
      <c r="E12" s="12" t="s">
        <v>37</v>
      </c>
      <c r="F12" s="12" t="s">
        <v>197</v>
      </c>
      <c r="G12" s="12" t="s">
        <v>198</v>
      </c>
      <c r="H12" s="12" t="s">
        <v>199</v>
      </c>
      <c r="I12" s="12" t="s">
        <v>120</v>
      </c>
      <c r="J12" s="12" t="s">
        <v>148</v>
      </c>
      <c r="K12" s="12" t="s">
        <v>200</v>
      </c>
      <c r="L12" s="12" t="s">
        <v>150</v>
      </c>
      <c r="M12" s="12" t="s">
        <v>151</v>
      </c>
    </row>
    <row r="13" customFormat="false" ht="39" hidden="false" customHeight="true" outlineLevel="0" collapsed="false">
      <c r="A13" s="12" t="s">
        <v>87</v>
      </c>
      <c r="B13" s="12" t="s">
        <v>86</v>
      </c>
      <c r="C13" s="12" t="s">
        <v>201</v>
      </c>
      <c r="D13" s="12" t="s">
        <v>49</v>
      </c>
      <c r="E13" s="12" t="s">
        <v>59</v>
      </c>
      <c r="F13" s="12" t="s">
        <v>202</v>
      </c>
      <c r="G13" s="12" t="s">
        <v>203</v>
      </c>
      <c r="H13" s="12" t="s">
        <v>204</v>
      </c>
      <c r="I13" s="12" t="s">
        <v>205</v>
      </c>
      <c r="J13" s="12" t="s">
        <v>39</v>
      </c>
      <c r="K13" s="12" t="s">
        <v>206</v>
      </c>
      <c r="L13" s="12" t="s">
        <v>207</v>
      </c>
      <c r="M13" s="12" t="s">
        <v>132</v>
      </c>
    </row>
    <row r="14" customFormat="false" ht="39" hidden="false" customHeight="true" outlineLevel="0" collapsed="false">
      <c r="A14" s="12" t="s">
        <v>91</v>
      </c>
      <c r="B14" s="12" t="s">
        <v>90</v>
      </c>
      <c r="C14" s="12" t="s">
        <v>208</v>
      </c>
      <c r="D14" s="12" t="s">
        <v>73</v>
      </c>
      <c r="E14" s="12" t="s">
        <v>89</v>
      </c>
      <c r="F14" s="12" t="s">
        <v>209</v>
      </c>
      <c r="G14" s="12" t="s">
        <v>210</v>
      </c>
      <c r="H14" s="12" t="s">
        <v>211</v>
      </c>
      <c r="I14" s="12" t="s">
        <v>185</v>
      </c>
      <c r="J14" s="12" t="s">
        <v>39</v>
      </c>
      <c r="K14" s="12" t="s">
        <v>212</v>
      </c>
      <c r="L14" s="12" t="s">
        <v>213</v>
      </c>
      <c r="M14" s="12" t="s">
        <v>188</v>
      </c>
    </row>
    <row r="15" customFormat="false" ht="39" hidden="false" customHeight="true" outlineLevel="0" collapsed="false">
      <c r="A15" s="12" t="s">
        <v>95</v>
      </c>
      <c r="B15" s="12" t="s">
        <v>94</v>
      </c>
      <c r="C15" s="12" t="s">
        <v>214</v>
      </c>
      <c r="D15" s="12" t="s">
        <v>93</v>
      </c>
      <c r="E15" s="12" t="s">
        <v>51</v>
      </c>
      <c r="F15" s="12" t="s">
        <v>215</v>
      </c>
      <c r="G15" s="12" t="s">
        <v>216</v>
      </c>
      <c r="H15" s="12" t="s">
        <v>217</v>
      </c>
      <c r="I15" s="12" t="s">
        <v>129</v>
      </c>
      <c r="J15" s="12" t="s">
        <v>138</v>
      </c>
      <c r="K15" s="12" t="s">
        <v>218</v>
      </c>
      <c r="L15" s="12" t="s">
        <v>219</v>
      </c>
      <c r="M15" s="12" t="s">
        <v>151</v>
      </c>
    </row>
    <row r="16" customFormat="false" ht="39" hidden="false" customHeight="true" outlineLevel="0" collapsed="false">
      <c r="A16" s="12" t="s">
        <v>98</v>
      </c>
      <c r="B16" s="12" t="s">
        <v>97</v>
      </c>
      <c r="C16" s="12" t="s">
        <v>220</v>
      </c>
      <c r="D16" s="12" t="s">
        <v>49</v>
      </c>
      <c r="E16" s="12" t="s">
        <v>59</v>
      </c>
      <c r="F16" s="12" t="s">
        <v>221</v>
      </c>
      <c r="G16" s="12" t="s">
        <v>222</v>
      </c>
      <c r="H16" s="12" t="s">
        <v>223</v>
      </c>
      <c r="I16" s="12" t="s">
        <v>171</v>
      </c>
      <c r="J16" s="12" t="s">
        <v>39</v>
      </c>
      <c r="K16" s="12" t="s">
        <v>224</v>
      </c>
      <c r="L16" s="12" t="s">
        <v>150</v>
      </c>
      <c r="M16" s="12" t="s">
        <v>151</v>
      </c>
    </row>
    <row r="17" customFormat="false" ht="26.25" hidden="false" customHeight="true" outlineLevel="0" collapsed="false">
      <c r="A17" s="12" t="s">
        <v>100</v>
      </c>
      <c r="B17" s="12" t="s">
        <v>99</v>
      </c>
      <c r="C17" s="12" t="s">
        <v>45</v>
      </c>
      <c r="D17" s="12" t="s">
        <v>44</v>
      </c>
      <c r="E17" s="12" t="s">
        <v>65</v>
      </c>
      <c r="F17" s="12" t="s">
        <v>225</v>
      </c>
      <c r="G17" s="12" t="s">
        <v>226</v>
      </c>
      <c r="H17" s="12" t="s">
        <v>227</v>
      </c>
      <c r="I17" s="12" t="s">
        <v>156</v>
      </c>
      <c r="J17" s="12" t="s">
        <v>148</v>
      </c>
      <c r="K17" s="12" t="s">
        <v>228</v>
      </c>
      <c r="L17" s="12" t="s">
        <v>150</v>
      </c>
      <c r="M17" s="12" t="s">
        <v>151</v>
      </c>
    </row>
    <row r="18" customFormat="false" ht="39" hidden="false" customHeight="true" outlineLevel="0" collapsed="false">
      <c r="A18" s="12" t="s">
        <v>105</v>
      </c>
      <c r="B18" s="12" t="s">
        <v>104</v>
      </c>
      <c r="C18" s="12" t="s">
        <v>229</v>
      </c>
      <c r="D18" s="12" t="s">
        <v>73</v>
      </c>
      <c r="E18" s="12" t="s">
        <v>37</v>
      </c>
      <c r="F18" s="12" t="s">
        <v>230</v>
      </c>
      <c r="G18" s="12" t="s">
        <v>231</v>
      </c>
      <c r="H18" s="12" t="s">
        <v>232</v>
      </c>
      <c r="I18" s="12" t="s">
        <v>171</v>
      </c>
      <c r="J18" s="12" t="s">
        <v>39</v>
      </c>
      <c r="K18" s="12" t="s">
        <v>233</v>
      </c>
      <c r="L18" s="12" t="s">
        <v>150</v>
      </c>
      <c r="M18" s="1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44"/>
  </cols>
  <sheetData>
    <row r="1" customFormat="false" ht="15" hidden="false" customHeight="true" outlineLevel="0" collapsed="false">
      <c r="A1" s="9" t="s">
        <v>24</v>
      </c>
      <c r="B1" s="9" t="s">
        <v>234</v>
      </c>
      <c r="C1" s="9" t="s">
        <v>235</v>
      </c>
      <c r="D1" s="9" t="s">
        <v>236</v>
      </c>
      <c r="E1" s="9" t="s">
        <v>237</v>
      </c>
      <c r="F1" s="9" t="s">
        <v>33</v>
      </c>
    </row>
    <row r="2" customFormat="false" ht="15" hidden="false" customHeight="true" outlineLevel="0" collapsed="false">
      <c r="A2" s="12" t="s">
        <v>238</v>
      </c>
      <c r="B2" s="12" t="s">
        <v>239</v>
      </c>
      <c r="C2" s="12" t="s">
        <v>240</v>
      </c>
      <c r="D2" s="12" t="s">
        <v>241</v>
      </c>
      <c r="E2" s="12" t="s">
        <v>242</v>
      </c>
      <c r="F2" s="12" t="s">
        <v>243</v>
      </c>
    </row>
    <row r="3" customFormat="false" ht="15" hidden="false" customHeight="true" outlineLevel="0" collapsed="false">
      <c r="A3" s="12" t="s">
        <v>238</v>
      </c>
      <c r="B3" s="12" t="s">
        <v>244</v>
      </c>
      <c r="C3" s="12" t="s">
        <v>245</v>
      </c>
      <c r="D3" s="12" t="s">
        <v>156</v>
      </c>
      <c r="E3" s="12" t="s">
        <v>246</v>
      </c>
      <c r="F3" s="12" t="s">
        <v>247</v>
      </c>
    </row>
    <row r="4" customFormat="false" ht="15" hidden="false" customHeight="true" outlineLevel="0" collapsed="false">
      <c r="A4" s="12" t="s">
        <v>248</v>
      </c>
      <c r="B4" s="12" t="s">
        <v>249</v>
      </c>
      <c r="C4" s="12" t="s">
        <v>250</v>
      </c>
      <c r="D4" s="12" t="s">
        <v>251</v>
      </c>
      <c r="E4" s="12" t="s">
        <v>252</v>
      </c>
      <c r="F4" s="12" t="s">
        <v>253</v>
      </c>
    </row>
    <row r="5" customFormat="false" ht="15" hidden="false" customHeight="true" outlineLevel="0" collapsed="false">
      <c r="A5" s="12" t="s">
        <v>254</v>
      </c>
      <c r="B5" s="12" t="s">
        <v>249</v>
      </c>
      <c r="C5" s="12" t="s">
        <v>255</v>
      </c>
      <c r="D5" s="12" t="s">
        <v>256</v>
      </c>
      <c r="E5" s="12" t="s">
        <v>257</v>
      </c>
      <c r="F5" s="12" t="s">
        <v>258</v>
      </c>
    </row>
    <row r="6" customFormat="false" ht="26.25" hidden="false" customHeight="true" outlineLevel="0" collapsed="false">
      <c r="A6" s="12" t="s">
        <v>259</v>
      </c>
      <c r="B6" s="12" t="s">
        <v>249</v>
      </c>
      <c r="C6" s="12" t="s">
        <v>260</v>
      </c>
      <c r="D6" s="12" t="s">
        <v>251</v>
      </c>
      <c r="E6" s="12" t="s">
        <v>261</v>
      </c>
      <c r="F6" s="12" t="s">
        <v>262</v>
      </c>
    </row>
    <row r="7" customFormat="false" ht="15" hidden="false" customHeight="true" outlineLevel="0" collapsed="false">
      <c r="A7" s="12" t="s">
        <v>263</v>
      </c>
      <c r="B7" s="12" t="s">
        <v>249</v>
      </c>
      <c r="C7" s="12" t="s">
        <v>264</v>
      </c>
      <c r="D7" s="12" t="s">
        <v>265</v>
      </c>
      <c r="E7" s="12" t="s">
        <v>252</v>
      </c>
      <c r="F7" s="12"/>
    </row>
    <row r="8" customFormat="false" ht="15" hidden="false" customHeight="true" outlineLevel="0" collapsed="false">
      <c r="A8" s="12" t="s">
        <v>266</v>
      </c>
      <c r="B8" s="12" t="s">
        <v>249</v>
      </c>
      <c r="C8" s="12" t="s">
        <v>267</v>
      </c>
      <c r="D8" s="12" t="s">
        <v>251</v>
      </c>
      <c r="E8" s="12" t="s">
        <v>261</v>
      </c>
      <c r="F8" s="12" t="s">
        <v>268</v>
      </c>
    </row>
    <row r="9" customFormat="false" ht="26.25" hidden="false" customHeight="true" outlineLevel="0" collapsed="false">
      <c r="A9" s="12" t="s">
        <v>269</v>
      </c>
      <c r="B9" s="12" t="s">
        <v>270</v>
      </c>
      <c r="C9" s="12" t="s">
        <v>271</v>
      </c>
      <c r="D9" s="12" t="s">
        <v>39</v>
      </c>
      <c r="E9" s="12" t="s">
        <v>39</v>
      </c>
      <c r="F9" s="12" t="s">
        <v>272</v>
      </c>
    </row>
    <row r="10" customFormat="false" ht="15" hidden="false" customHeight="true" outlineLevel="0" collapsed="false">
      <c r="A10" s="12" t="s">
        <v>273</v>
      </c>
      <c r="B10" s="12" t="s">
        <v>274</v>
      </c>
      <c r="C10" s="12" t="s">
        <v>275</v>
      </c>
      <c r="D10" s="12" t="s">
        <v>251</v>
      </c>
      <c r="E10" s="12" t="s">
        <v>276</v>
      </c>
      <c r="F1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7" min="6" style="1" width="16"/>
    <col collapsed="false" customWidth="true" hidden="false" outlineLevel="0" max="10" min="8" style="1" width="12"/>
    <col collapsed="false" customWidth="true" hidden="false" outlineLevel="0" max="11" min="11" style="1" width="34"/>
  </cols>
  <sheetData>
    <row r="1" customFormat="false" ht="39" hidden="false" customHeight="true" outlineLevel="0" collapsed="false">
      <c r="A1" s="9" t="s">
        <v>23</v>
      </c>
      <c r="B1" s="9" t="s">
        <v>277</v>
      </c>
      <c r="C1" s="9" t="s">
        <v>278</v>
      </c>
      <c r="D1" s="9" t="s">
        <v>279</v>
      </c>
      <c r="E1" s="9" t="s">
        <v>280</v>
      </c>
      <c r="F1" s="9" t="s">
        <v>281</v>
      </c>
      <c r="G1" s="9" t="s">
        <v>282</v>
      </c>
      <c r="H1" s="9" t="s">
        <v>283</v>
      </c>
      <c r="I1" s="9" t="s">
        <v>284</v>
      </c>
      <c r="J1" s="9" t="s">
        <v>285</v>
      </c>
      <c r="K1" s="9" t="s">
        <v>286</v>
      </c>
    </row>
    <row r="2" customFormat="false" ht="15" hidden="false" customHeight="true" outlineLevel="0" collapsed="false">
      <c r="A2" s="16" t="s">
        <v>287</v>
      </c>
      <c r="B2" s="17" t="n">
        <v>0</v>
      </c>
      <c r="C2" s="17" t="n">
        <v>0</v>
      </c>
      <c r="D2" s="17" t="n">
        <v>0</v>
      </c>
      <c r="E2" s="18" t="n">
        <f aca="false">SUM(B2:D2)</f>
        <v>0</v>
      </c>
      <c r="F2" s="19" t="s">
        <v>288</v>
      </c>
      <c r="G2" s="17" t="n">
        <v>0</v>
      </c>
      <c r="H2" s="17" t="n">
        <v>0</v>
      </c>
      <c r="I2" s="17" t="n">
        <v>0</v>
      </c>
      <c r="J2" s="17" t="n">
        <v>0</v>
      </c>
      <c r="K2" s="17" t="s">
        <v>289</v>
      </c>
    </row>
    <row r="3" customFormat="false" ht="15" hidden="false" customHeight="true" outlineLevel="0" collapsed="false">
      <c r="A3" s="16" t="s">
        <v>290</v>
      </c>
      <c r="B3" s="17"/>
      <c r="C3" s="17"/>
      <c r="D3" s="17"/>
      <c r="E3" s="18" t="n">
        <f aca="false">SUM(B3:D3)</f>
        <v>0</v>
      </c>
      <c r="F3" s="19" t="str">
        <f aca="false">IF(ROW()=2,"-",IF(E2=0,"-",E3/E2-1))</f>
        <v>-</v>
      </c>
      <c r="G3" s="17"/>
      <c r="H3" s="17"/>
      <c r="I3" s="17"/>
      <c r="J3" s="17"/>
      <c r="K3" s="17"/>
    </row>
    <row r="4" customFormat="false" ht="15" hidden="false" customHeight="true" outlineLevel="0" collapsed="false">
      <c r="A4" s="16" t="s">
        <v>291</v>
      </c>
      <c r="B4" s="17"/>
      <c r="C4" s="17"/>
      <c r="D4" s="17"/>
      <c r="E4" s="18" t="n">
        <f aca="false">SUM(B4:D4)</f>
        <v>0</v>
      </c>
      <c r="F4" s="19" t="str">
        <f aca="false">IF(ROW()=2,"-",IF(E3=0,"-",E4/E3-1))</f>
        <v>-</v>
      </c>
      <c r="G4" s="17"/>
      <c r="H4" s="17"/>
      <c r="I4" s="17"/>
      <c r="J4" s="17"/>
      <c r="K4" s="17"/>
    </row>
    <row r="5" customFormat="false" ht="15" hidden="false" customHeight="true" outlineLevel="0" collapsed="false">
      <c r="A5" s="16" t="s">
        <v>292</v>
      </c>
      <c r="B5" s="17"/>
      <c r="C5" s="17"/>
      <c r="D5" s="17"/>
      <c r="E5" s="18" t="n">
        <f aca="false">SUM(B5:D5)</f>
        <v>0</v>
      </c>
      <c r="F5" s="19" t="str">
        <f aca="false">IF(ROW()=2,"-",IF(E4=0,"-",E5/E4-1))</f>
        <v>-</v>
      </c>
      <c r="G5" s="17"/>
      <c r="H5" s="17"/>
      <c r="I5" s="17"/>
      <c r="J5" s="17"/>
      <c r="K5" s="17"/>
    </row>
    <row r="6" customFormat="false" ht="15" hidden="false" customHeight="true" outlineLevel="0" collapsed="false">
      <c r="A6" s="16" t="s">
        <v>293</v>
      </c>
      <c r="B6" s="17"/>
      <c r="C6" s="17"/>
      <c r="D6" s="17"/>
      <c r="E6" s="18" t="n">
        <f aca="false">SUM(B6:D6)</f>
        <v>0</v>
      </c>
      <c r="F6" s="19" t="str">
        <f aca="false">IF(ROW()=2,"-",IF(E5=0,"-",E6/E5-1))</f>
        <v>-</v>
      </c>
      <c r="G6" s="17"/>
      <c r="H6" s="17"/>
      <c r="I6" s="17"/>
      <c r="J6" s="17"/>
      <c r="K6" s="17"/>
    </row>
    <row r="8" customFormat="false" ht="15" hidden="false" customHeight="true" outlineLevel="0" collapsed="false">
      <c r="A8" s="8" t="s">
        <v>294</v>
      </c>
    </row>
    <row r="9" customFormat="false" ht="15" hidden="false" customHeight="true" outlineLevel="0" collapsed="false">
      <c r="A9" s="6" t="s">
        <v>295</v>
      </c>
      <c r="G9" s="6" t="n">
        <f aca="false">SUM(G2:G6)</f>
        <v>0</v>
      </c>
      <c r="H9" s="6" t="n">
        <f aca="false">SUM(H2:H6)</f>
        <v>0</v>
      </c>
      <c r="I9" s="6" t="n">
        <f aca="false">SUM(I2:I6)</f>
        <v>0</v>
      </c>
      <c r="J9" s="6" t="n">
        <f aca="false">SUM(J2:J6)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2026-09-30T21:33:58Z</dcterms:created>
  <dc:creator>openpyxl</dc:creator>
  <dc:description/>
  <dc:language>en-US</dc:language>
  <cp:lastModifiedBy/>
  <dcterms:modified xsi:type="dcterms:W3CDTF">2026-10-01T04:19:43Z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